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<sst xmlns="http://schemas.openxmlformats.org/spreadsheetml/2006/main" count="40" uniqueCount="29">
  <si>
    <t xml:space="preserve">Bill of Materials – Snake Rescue/Handling Tool</t>
  </si>
  <si>
    <t xml:space="preserve">Component</t>
  </si>
  <si>
    <t xml:space="preserve">Number</t>
  </si>
  <si>
    <t xml:space="preserve">Cost per Unit (INR)</t>
  </si>
  <si>
    <t xml:space="preserve">Total Cost (INR)</t>
  </si>
  <si>
    <t xml:space="preserve">Source of Materials</t>
  </si>
  <si>
    <t xml:space="preserve">Aluminium hollow shaft/tube</t>
  </si>
  <si>
    <t xml:space="preserve">Local hardware/metal supplier</t>
  </si>
  <si>
    <t xml:space="preserve">Angled aluminium handle tube</t>
  </si>
  <si>
    <t xml:space="preserve">Bicycle brake lever/trigger</t>
  </si>
  <si>
    <t xml:space="preserve">Bicycle spare-parts supplier</t>
  </si>
  <si>
    <t xml:space="preserve">Steel brake cable</t>
  </si>
  <si>
    <t xml:space="preserve">Cable outer housing/Bowden sleeve</t>
  </si>
  <si>
    <t xml:space="preserve">3D-printed cable guide/support parts</t>
  </si>
  <si>
    <t xml:space="preserve">FDM 3D printing</t>
  </si>
  <si>
    <t xml:space="preserve">3D-printed side-base/support parts</t>
  </si>
  <si>
    <t xml:space="preserve">3D-printed jaw/grip support parts</t>
  </si>
  <si>
    <t xml:space="preserve">Stainless steel linkage strips</t>
  </si>
  <si>
    <t xml:space="preserve">Local hardware supplier</t>
  </si>
  <si>
    <t xml:space="preserve">Extension spring for jaw return</t>
  </si>
  <si>
    <t xml:space="preserve">Soft rubber/TPU gripping pads</t>
  </si>
  <si>
    <t xml:space="preserve">Rubber sheet or TPU 3D printing</t>
  </si>
  <si>
    <t xml:space="preserve">Pivot bolts, nuts, washers, and spacers</t>
  </si>
  <si>
    <t xml:space="preserve">1 set</t>
  </si>
  <si>
    <t xml:space="preserve">Cable stopper/clamp and adjuster</t>
  </si>
  <si>
    <t xml:space="preserve">Bicycle/hardware supplier</t>
  </si>
  <si>
    <t xml:space="preserve">Rear grip/end cap</t>
  </si>
  <si>
    <t xml:space="preserve">Adhesive/finishing consumables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</si>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</sst>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₹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BDD7EE"/>
      </patternFill>
    </fill>
    <fill>
      <patternFill patternType="solid">
        <fgColor rgb="FFFFFFFF"/>
        <bgColor rgb="FFFFFFCC"/>
      </patternFill>
    </fill>
    <fill>
      <patternFill patternType="solid">
        <fgColor rgb="FFBDD7EE"/>
        <bgColor rgb="FFD6E4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6E4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3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30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21.75" hidden="false" customHeight="true" outlineLevel="0" collapsed="false">
      <c r="A3" s="3" t="s">
        <v>6</v>
      </c>
      <c r="B3" s="4" t="n">
        <v>1</v>
      </c>
      <c r="C3" s="5" t="n">
        <v>350</v>
      </c>
      <c r="D3" s="5" t="n">
        <f aca="false">B3*C3</f>
        <v>350</v>
      </c>
      <c r="E3" s="3" t="s">
        <v>7</v>
      </c>
    </row>
    <row r="4" customFormat="false" ht="21.75" hidden="false" customHeight="true" outlineLevel="0" collapsed="false">
      <c r="A4" s="6" t="s">
        <v>8</v>
      </c>
      <c r="B4" s="7" t="n">
        <v>1</v>
      </c>
      <c r="C4" s="8" t="n">
        <v>180</v>
      </c>
      <c r="D4" s="8" t="n">
        <f aca="false">B4*C4</f>
        <v>180</v>
      </c>
      <c r="E4" s="6" t="s">
        <v>7</v>
      </c>
    </row>
    <row r="5" customFormat="false" ht="21.75" hidden="false" customHeight="true" outlineLevel="0" collapsed="false">
      <c r="A5" s="3" t="s">
        <v>9</v>
      </c>
      <c r="B5" s="4" t="n">
        <v>1</v>
      </c>
      <c r="C5" s="5" t="n">
        <v>250</v>
      </c>
      <c r="D5" s="5" t="n">
        <f aca="false">B5*C5</f>
        <v>250</v>
      </c>
      <c r="E5" s="3" t="s">
        <v>10</v>
      </c>
    </row>
    <row r="6" customFormat="false" ht="21.75" hidden="false" customHeight="true" outlineLevel="0" collapsed="false">
      <c r="A6" s="6" t="s">
        <v>11</v>
      </c>
      <c r="B6" s="7" t="n">
        <v>1</v>
      </c>
      <c r="C6" s="8" t="n">
        <v>80</v>
      </c>
      <c r="D6" s="8" t="n">
        <f aca="false">B6*C6</f>
        <v>80</v>
      </c>
      <c r="E6" s="6" t="s">
        <v>10</v>
      </c>
    </row>
    <row r="7" customFormat="false" ht="21.75" hidden="false" customHeight="true" outlineLevel="0" collapsed="false">
      <c r="A7" s="3" t="s">
        <v>12</v>
      </c>
      <c r="B7" s="4" t="n">
        <v>1</v>
      </c>
      <c r="C7" s="5" t="n">
        <v>100</v>
      </c>
      <c r="D7" s="5" t="n">
        <f aca="false">B7*C7</f>
        <v>100</v>
      </c>
      <c r="E7" s="3" t="s">
        <v>10</v>
      </c>
    </row>
    <row r="8" customFormat="false" ht="21.75" hidden="false" customHeight="true" outlineLevel="0" collapsed="false">
      <c r="A8" s="6" t="s">
        <v>13</v>
      </c>
      <c r="B8" s="7" t="n">
        <v>4</v>
      </c>
      <c r="C8" s="8" t="n">
        <v>60</v>
      </c>
      <c r="D8" s="8" t="n">
        <f aca="false">B8*C8</f>
        <v>240</v>
      </c>
      <c r="E8" s="6" t="s">
        <v>14</v>
      </c>
    </row>
    <row r="9" customFormat="false" ht="21.75" hidden="false" customHeight="true" outlineLevel="0" collapsed="false">
      <c r="A9" s="3" t="s">
        <v>15</v>
      </c>
      <c r="B9" s="4" t="n">
        <v>4</v>
      </c>
      <c r="C9" s="5" t="n">
        <v>70</v>
      </c>
      <c r="D9" s="5" t="n">
        <f aca="false">B9*C9</f>
        <v>280</v>
      </c>
      <c r="E9" s="3" t="s">
        <v>14</v>
      </c>
    </row>
    <row r="10" customFormat="false" ht="21.75" hidden="false" customHeight="true" outlineLevel="0" collapsed="false">
      <c r="A10" s="6" t="s">
        <v>16</v>
      </c>
      <c r="B10" s="7" t="n">
        <v>3</v>
      </c>
      <c r="C10" s="8" t="n">
        <v>65</v>
      </c>
      <c r="D10" s="8" t="n">
        <f aca="false">B10*C10</f>
        <v>195</v>
      </c>
      <c r="E10" s="6" t="s">
        <v>14</v>
      </c>
    </row>
    <row r="11" customFormat="false" ht="21.75" hidden="false" customHeight="true" outlineLevel="0" collapsed="false">
      <c r="A11" s="3" t="s">
        <v>17</v>
      </c>
      <c r="B11" s="4" t="n">
        <v>2</v>
      </c>
      <c r="C11" s="5" t="n">
        <v>90</v>
      </c>
      <c r="D11" s="5" t="n">
        <f aca="false">B11*C11</f>
        <v>180</v>
      </c>
      <c r="E11" s="3" t="s">
        <v>18</v>
      </c>
    </row>
    <row r="12" customFormat="false" ht="21.75" hidden="false" customHeight="true" outlineLevel="0" collapsed="false">
      <c r="A12" s="6" t="s">
        <v>19</v>
      </c>
      <c r="B12" s="7" t="n">
        <v>1</v>
      </c>
      <c r="C12" s="8" t="n">
        <v>45</v>
      </c>
      <c r="D12" s="8" t="n">
        <f aca="false">B12*C12</f>
        <v>45</v>
      </c>
      <c r="E12" s="6" t="s">
        <v>18</v>
      </c>
    </row>
    <row r="13" customFormat="false" ht="21.75" hidden="false" customHeight="true" outlineLevel="0" collapsed="false">
      <c r="A13" s="3" t="s">
        <v>20</v>
      </c>
      <c r="B13" s="4" t="n">
        <v>2</v>
      </c>
      <c r="C13" s="5" t="n">
        <v>40</v>
      </c>
      <c r="D13" s="5" t="n">
        <f aca="false">B13*C13</f>
        <v>80</v>
      </c>
      <c r="E13" s="3" t="s">
        <v>21</v>
      </c>
    </row>
    <row r="14" customFormat="false" ht="21.75" hidden="false" customHeight="true" outlineLevel="0" collapsed="false">
      <c r="A14" s="6" t="s">
        <v>22</v>
      </c>
      <c r="B14" s="7" t="s">
        <v>23</v>
      </c>
      <c r="C14" s="8" t="n">
        <v>140</v>
      </c>
      <c r="D14" s="8" t="n">
        <v>140</v>
      </c>
      <c r="E14" s="6" t="s">
        <v>18</v>
      </c>
    </row>
    <row r="15" customFormat="false" ht="21.75" hidden="false" customHeight="true" outlineLevel="0" collapsed="false">
      <c r="A15" s="3" t="s">
        <v>24</v>
      </c>
      <c r="B15" s="4" t="s">
        <v>23</v>
      </c>
      <c r="C15" s="5" t="n">
        <v>75</v>
      </c>
      <c r="D15" s="5" t="n">
        <v>75</v>
      </c>
      <c r="E15" s="3" t="s">
        <v>25</v>
      </c>
    </row>
    <row r="16" customFormat="false" ht="21.75" hidden="false" customHeight="true" outlineLevel="0" collapsed="false">
      <c r="A16" s="6" t="s">
        <v>26</v>
      </c>
      <c r="B16" s="7" t="n">
        <v>1</v>
      </c>
      <c r="C16" s="8" t="n">
        <v>70</v>
      </c>
      <c r="D16" s="8" t="n">
        <f aca="false">B16*C16</f>
        <v>70</v>
      </c>
      <c r="E16" s="6" t="s">
        <v>18</v>
      </c>
    </row>
    <row r="17" customFormat="false" ht="21.75" hidden="false" customHeight="true" outlineLevel="0" collapsed="false">
      <c r="A17" s="3" t="s">
        <v>27</v>
      </c>
      <c r="B17" s="4" t="s">
        <v>23</v>
      </c>
      <c r="C17" s="5" t="n">
        <v>31</v>
      </c>
      <c r="D17" s="5" t="n">
        <v>31</v>
      </c>
      <c r="E17" s="3" t="s">
        <v>18</v>
      </c>
    </row>
    <row r="18" customFormat="false" ht="24" hidden="false" customHeight="true" outlineLevel="0" collapsed="false">
      <c r="A18" s="9" t="s">
        <v>28</v>
      </c>
      <c r="B18" s="9"/>
      <c r="C18" s="9"/>
      <c r="D18" s="10" t="n">
        <f aca="false">SUM(D3:D17)</f>
        <v>2296</v>
      </c>
      <c r="E18" s="11"/>
    </row>
  </sheetData>
  <mergeCells count="2">
    <mergeCell ref="A1:E1"/>
    <mergeCell ref="A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2026-05-11T06:20:44Z</dcterms:created>
  <dc:creator>openpyxl</dc:creator>
  <dc:description/>
  <dc:language>en-US</dc:language>
  <cp:lastModifiedBy/>
  <dcterms:modified xsi:type="dcterms:W3CDTF">2026-05-11T06:20:44Z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